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S\Downloads\Excel\"/>
    </mc:Choice>
  </mc:AlternateContent>
  <xr:revisionPtr revIDLastSave="0" documentId="13_ncr:1_{B80DDF08-7E6B-4500-A764-E35D141FB434}" xr6:coauthVersionLast="47" xr6:coauthVersionMax="47" xr10:uidLastSave="{00000000-0000-0000-0000-000000000000}"/>
  <bookViews>
    <workbookView xWindow="-110" yWindow="-110" windowWidth="19420" windowHeight="10300" tabRatio="876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J3" i="13"/>
  <c r="J4" i="13"/>
  <c r="J5" i="13"/>
  <c r="J6" i="13"/>
  <c r="J7" i="13"/>
  <c r="J8" i="13"/>
  <c r="J9" i="13"/>
  <c r="J10" i="13"/>
  <c r="K2" i="13"/>
  <c r="J2" i="13"/>
  <c r="L2" i="5"/>
  <c r="K2" i="5"/>
  <c r="J2" i="5"/>
  <c r="L2" i="12"/>
  <c r="K2" i="12"/>
  <c r="J2" i="12"/>
  <c r="K3" i="7"/>
  <c r="K4" i="7"/>
  <c r="K5" i="7"/>
  <c r="K6" i="7"/>
  <c r="K7" i="7"/>
  <c r="K8" i="7"/>
  <c r="K9" i="7"/>
  <c r="K10" i="7"/>
  <c r="J3" i="7"/>
  <c r="J4" i="7"/>
  <c r="J5" i="7"/>
  <c r="J6" i="7"/>
  <c r="J7" i="7"/>
  <c r="J8" i="7"/>
  <c r="J9" i="7"/>
  <c r="J10" i="7"/>
  <c r="K2" i="7"/>
  <c r="J2" i="7"/>
  <c r="L2" i="7"/>
  <c r="L3" i="7"/>
  <c r="L4" i="7"/>
  <c r="L5" i="7"/>
  <c r="L6" i="7"/>
  <c r="L7" i="7"/>
  <c r="L8" i="7"/>
  <c r="L9" i="7"/>
  <c r="L10" i="7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2" i="1"/>
  <c r="J3" i="6"/>
  <c r="J4" i="6"/>
  <c r="J5" i="6"/>
  <c r="J6" i="6"/>
  <c r="J7" i="6"/>
  <c r="J8" i="6"/>
  <c r="J9" i="6"/>
  <c r="J10" i="6"/>
  <c r="J2" i="6"/>
  <c r="L3" i="3"/>
  <c r="L4" i="3"/>
  <c r="L5" i="3"/>
  <c r="L6" i="3"/>
  <c r="L7" i="3"/>
  <c r="L8" i="3"/>
  <c r="L9" i="3"/>
  <c r="L10" i="3"/>
  <c r="L2" i="3"/>
  <c r="J2" i="3" a="1"/>
  <c r="J2" i="3" s="1"/>
  <c r="M2" i="4" a="1"/>
  <c r="M2" i="4" s="1"/>
  <c r="L2" i="4" a="1"/>
  <c r="L2" i="4" s="1"/>
  <c r="K2" i="4" a="1"/>
  <c r="K2" i="4" s="1"/>
  <c r="J3" i="2"/>
  <c r="J4" i="2"/>
  <c r="J5" i="2"/>
  <c r="J6" i="2"/>
  <c r="J7" i="2"/>
  <c r="J8" i="2"/>
  <c r="J9" i="2"/>
  <c r="J10" i="2"/>
  <c r="J2" i="2"/>
  <c r="K2" i="8" a="1"/>
  <c r="K2" i="8" s="1"/>
  <c r="J2" i="8" a="1"/>
  <c r="J2" i="8" s="1"/>
  <c r="K7" i="9"/>
  <c r="J7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<sst xmlns="http://schemas.openxmlformats.org/spreadsheetml/2006/main" count="597" uniqueCount="102">
  <si>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</si>
  <si>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</si>
  <si>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</si>
  <si>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</si>
  <si>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</si>
  <si>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</si>
  <si>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</si>
  <si>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</si>
  <si>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</si>
  <si>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</si>
  <si>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</si>
  <si>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</si>
  <si>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</si>
  <si>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</si>
  <si>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</si>
  <si>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</si>
  <si>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</si>
  <si>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</si>
  <si>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</si>
  <si>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</si>
  <si>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</si>
  <si>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</si>
  <si>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</si>
  <si>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</si>
  <si>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</si>
  <si>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</si>
  <si>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</si>
  <si>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</si>
  <si>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</si>
  <si>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</si>
  <si>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</si>
  <si>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</si>
  <si>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</si>
  <si>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</si>
  <si>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</si>
  <si>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</si>
  <si>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</si>
  <si>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</si>
  <si>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</si>
  <si>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</si>
  <si>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</si>
  <si>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</si>
  <si>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</si>
  <si>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</si>
  <si>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</si>
  <si>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</si>
  <si>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</si>
  <si>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</si>
  <si>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</si>
  <si>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</si>
  <si>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</si>
  <si>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</si>
  <si>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</si>
  <si>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</si>
  <si>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</si>
  <si>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</si>
  <si>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</si>
  <si>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</si>
  <si>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</si>
  <si>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</si>
  <si>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</si>
  <si>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</si>
  <si>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</si>
  <si>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</si>
  <si>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</si>
  <si>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</si>
  <si>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</si>
  <si>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</si>
  <si>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</si>
  <si>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</si>
  <si>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</si>
  <si>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SUM</t>
  </si>
  <si>
    <t>SUMIF</t>
  </si>
  <si>
    <t>SUMIFS</t>
  </si>
  <si>
    <t>COUNT</t>
  </si>
  <si>
    <t>COUNTIF</t>
  </si>
  <si>
    <t>COUNTIFS</t>
  </si>
  <si>
    <t>IF</t>
  </si>
  <si>
    <t>IFS</t>
  </si>
  <si>
    <t>DAYS</t>
  </si>
  <si>
    <t>NETWORKDAYS</t>
  </si>
  <si>
    <t>Left</t>
  </si>
  <si>
    <t>Right</t>
  </si>
  <si>
    <t>Max Salary</t>
  </si>
  <si>
    <t>Min Salary</t>
  </si>
  <si>
    <t>Max Date</t>
  </si>
  <si>
    <t>Min Date</t>
  </si>
  <si>
    <t>Right(Year)</t>
  </si>
  <si>
    <t>02/11/2001</t>
  </si>
  <si>
    <t>03/10/1999</t>
  </si>
  <si>
    <t>04/07/2000</t>
  </si>
  <si>
    <t>05/01/2000</t>
  </si>
  <si>
    <t>06/05/2001</t>
  </si>
  <si>
    <t>07/12/1995</t>
  </si>
  <si>
    <t>08/11/2003</t>
  </si>
  <si>
    <t>09/06/2002</t>
  </si>
  <si>
    <t>10/08/2003</t>
  </si>
  <si>
    <t>Pasting as values</t>
  </si>
  <si>
    <t>Genarating Gmail</t>
  </si>
  <si>
    <t>With 1st instance</t>
  </si>
  <si>
    <t>With 2nd instances</t>
  </si>
  <si>
    <t>With NO instances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</si>
</sst>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tabSelected="1" workbookViewId="0">
      <selection activeCell="C21" sqref="C21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4" t="s">
        <v>83</v>
      </c>
      <c r="K1" s="4" t="s">
        <v>84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3">
        <f>MAX(G2:G10)</f>
        <v>65000</v>
      </c>
      <c r="K2" s="3">
        <f>MIN(G2:G10)</f>
        <v>36000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s="4" t="s">
        <v>85</v>
      </c>
      <c r="K6" s="4" t="s">
        <v>86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s="1">
        <f>MAX(H2:H10)</f>
        <v>37933</v>
      </c>
      <c r="K7" s="1">
        <f>MIN(I2:I10)</f>
        <v>40800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K15" sqref="K15"/>
    </sheetView>
  </sheetViews>
  <sheetFormatPr defaultColWidth="13.6328125" defaultRowHeight="14.5" x14ac:dyDescent="0.35"/>
  <cols>
    <col min="1" max="1" width="10.81640625" bestFit="1" customWidth="1"/>
    <col min="4" max="4" width="7.6328125" customWidth="1"/>
    <col min="11" max="11" width="18.906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4" t="s">
        <v>77</v>
      </c>
      <c r="K1" s="4" t="s">
        <v>78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 &gt; 30, "OLD","YOUNG")</f>
        <v>YOUNG</v>
      </c>
      <c r="K2" t="str" cm="1">
        <f t="array" ref="K2:K10">_xlfn.IFS(F2:F10 = "Salesman","Sales",F2:F10 = "Accountant","Money")</f>
        <v>Sales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str">
        <v>Money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e">
        <v>#N/A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e">
        <v>#N/A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str">
        <v>Money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1" sqref="J1"/>
    </sheetView>
  </sheetViews>
  <sheetFormatPr defaultColWidth="10.90625" defaultRowHeight="14.5" x14ac:dyDescent="0.35"/>
  <cols>
    <col min="1" max="1" width="10.81640625" bestFit="1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4" t="s">
        <v>19</v>
      </c>
      <c r="L1" t="s">
        <v>35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LEN(B2)</f>
        <v>3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LEN(B3)</f>
        <v>3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4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7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8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7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D1" workbookViewId="0">
      <selection activeCell="I2" sqref="I2"/>
    </sheetView>
  </sheetViews>
  <sheetFormatPr defaultColWidth="14.54296875" defaultRowHeight="14.5" x14ac:dyDescent="0.35"/>
  <cols>
    <col min="4" max="4" width="8" customWidth="1"/>
    <col min="10" max="10" width="32.36328125" bestFit="1" customWidth="1"/>
  </cols>
  <sheetData>
    <row r="1" spans="1:13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s="4" t="s">
        <v>81</v>
      </c>
      <c r="L1" s="4" t="s">
        <v>82</v>
      </c>
      <c r="M1" s="4" t="s">
        <v>82</v>
      </c>
    </row>
    <row r="2" spans="1:13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LEFT(F2:F10,3)</f>
        <v>Sal</v>
      </c>
      <c r="L2" t="str" cm="1">
        <f t="array" ref="L2:L10">RIGHT(A2:A10,2)</f>
        <v>01</v>
      </c>
      <c r="M2" t="str" cm="1">
        <f t="array" ref="M2:M10">RIGHT(H2:H10,4)</f>
        <v>2001</v>
      </c>
    </row>
    <row r="3" spans="1:13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Rec</v>
      </c>
      <c r="L3" t="str">
        <v>02</v>
      </c>
      <c r="M3" t="str">
        <v>1999</v>
      </c>
    </row>
    <row r="4" spans="1:13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Sal</v>
      </c>
      <c r="L4" t="str">
        <v>03</v>
      </c>
      <c r="M4" t="str">
        <v>2000</v>
      </c>
    </row>
    <row r="5" spans="1:13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Acc</v>
      </c>
      <c r="L5" t="str">
        <v>04</v>
      </c>
      <c r="M5" t="str">
        <v>2000</v>
      </c>
    </row>
    <row r="6" spans="1:13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HR</v>
      </c>
      <c r="L6" t="str">
        <v>05</v>
      </c>
      <c r="M6" t="str">
        <v>2001</v>
      </c>
    </row>
    <row r="7" spans="1:13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Reg</v>
      </c>
      <c r="L7" t="str">
        <v>06</v>
      </c>
      <c r="M7" t="str">
        <v>2001</v>
      </c>
    </row>
    <row r="8" spans="1:13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Sup</v>
      </c>
      <c r="L8" t="str">
        <v>07</v>
      </c>
      <c r="M8" t="str">
        <v>2003</v>
      </c>
    </row>
    <row r="9" spans="1:13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Sal</v>
      </c>
      <c r="L9" t="str">
        <v>08</v>
      </c>
      <c r="M9" t="str">
        <v>2002</v>
      </c>
    </row>
    <row r="10" spans="1:13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Acc</v>
      </c>
      <c r="L10" t="str">
        <v>09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L13"/>
  <sheetViews>
    <sheetView workbookViewId="0">
      <selection activeCell="K13" sqref="K13"/>
    </sheetView>
  </sheetViews>
  <sheetFormatPr defaultColWidth="13.6328125" defaultRowHeight="14.5" x14ac:dyDescent="0.35"/>
  <cols>
    <col min="1" max="1" width="10.81640625" bestFit="1" customWidth="1"/>
    <col min="2" max="2" width="10.1796875" customWidth="1"/>
    <col min="3" max="3" width="11.54296875" customWidth="1"/>
    <col min="4" max="4" width="7.6328125" customWidth="1"/>
    <col min="10" max="10" width="23.36328125" customWidth="1"/>
    <col min="11" max="11" width="16.453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4" t="s">
        <v>70</v>
      </c>
      <c r="K1" s="4" t="s">
        <v>97</v>
      </c>
      <c r="L1" s="4" t="s">
        <v>87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TEXT(H2:H10,"dd/mm/yyyy")</f>
        <v>02/11/2001</v>
      </c>
      <c r="K2" s="1" t="s">
        <v>88</v>
      </c>
      <c r="L2" t="str">
        <f>RIGHT(K2,4)</f>
        <v>2001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1" t="s">
        <v>89</v>
      </c>
      <c r="L3" t="str">
        <f t="shared" ref="L3:L10" si="0">RIGHT(K3,4)</f>
        <v>1999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1" t="s">
        <v>90</v>
      </c>
      <c r="L4" t="str">
        <f t="shared" si="0"/>
        <v>2000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1" t="s">
        <v>91</v>
      </c>
      <c r="L5" t="str">
        <f t="shared" si="0"/>
        <v>2000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1" t="s">
        <v>92</v>
      </c>
      <c r="L6" t="str">
        <f t="shared" si="0"/>
        <v>2001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1" t="s">
        <v>93</v>
      </c>
      <c r="L7" t="str">
        <f t="shared" si="0"/>
        <v>1995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1" t="s">
        <v>94</v>
      </c>
      <c r="L8" t="str">
        <f t="shared" si="0"/>
        <v>2003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1" t="s">
        <v>95</v>
      </c>
      <c r="L9" t="str">
        <f t="shared" si="0"/>
        <v>2002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1" t="s">
        <v>96</v>
      </c>
      <c r="L10" t="str">
        <f t="shared" si="0"/>
        <v>2003</v>
      </c>
    </row>
    <row r="12" spans="1:12" x14ac:dyDescent="0.35">
      <c r="H12" s="1"/>
    </row>
    <row r="13" spans="1:12" x14ac:dyDescent="0.35">
      <c r="H13" s="2"/>
    </row>
  </sheetData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1" sqref="J1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4" t="s">
        <v>68</v>
      </c>
      <c r="K1" t="s">
        <v>69</v>
      </c>
    </row>
    <row r="2" spans="1:11" x14ac:dyDescent="0.3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TRIM(C2)</f>
        <v>Halpert</v>
      </c>
    </row>
    <row r="3" spans="1:11" x14ac:dyDescent="0.3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TRIM(C3)</f>
        <v>Beasley</v>
      </c>
    </row>
    <row r="4" spans="1:11" x14ac:dyDescent="0.3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3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3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3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3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3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3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L13" sqref="L13"/>
    </sheetView>
  </sheetViews>
  <sheetFormatPr defaultColWidth="13.6328125" defaultRowHeight="14.5" x14ac:dyDescent="0.35"/>
  <cols>
    <col min="1" max="1" width="10.81640625" bestFit="1" customWidth="1"/>
    <col min="2" max="2" width="9.26953125" bestFit="1" customWidth="1"/>
    <col min="3" max="3" width="10.08984375" bestFit="1" customWidth="1"/>
    <col min="4" max="4" width="7.6328125" customWidth="1"/>
    <col min="5" max="5" width="7" bestFit="1" customWidth="1"/>
    <col min="7" max="7" width="13.54296875" customWidth="1"/>
    <col min="10" max="10" width="15.453125" bestFit="1" customWidth="1"/>
    <col min="11" max="11" width="17" bestFit="1" customWidth="1"/>
    <col min="12" max="12" width="16.36328125" bestFit="1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4" t="s">
        <v>99</v>
      </c>
      <c r="K1" s="4" t="s">
        <v>100</v>
      </c>
      <c r="L1" s="4" t="s">
        <v>101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>
        <f>SUBSTITUTE(H2,"/","-",1)</f>
        <v>11-2/2001</v>
      </c>
      <c r="K2" t="str">
        <f>SUBSTITUTE(H2,"/","-",2)</f>
        <v>11/2-2001</v>
      </c>
      <c r="L2" t="str">
        <f>SUBSTITUTE(H2,"/","-")</f>
        <v>11-2-2001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f t="shared" ref="J3:J10" si="0">SUBSTITUTE(H3,"/","-",1)</f>
        <v>10-3/1999</v>
      </c>
      <c r="K3" t="str">
        <f t="shared" ref="K3:K10" si="1">SUBSTITUTE(H3,"/","-",2)</f>
        <v>10/3-1999</v>
      </c>
      <c r="L3" t="str">
        <f t="shared" ref="L3:L10" si="2">SUBSTITUTE(H3,"/","-")</f>
        <v>10-3-1999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f t="shared" si="0"/>
        <v>7-4/2000</v>
      </c>
      <c r="K4" t="str">
        <f t="shared" si="1"/>
        <v>7/4-2000</v>
      </c>
      <c r="L4" t="str">
        <f t="shared" si="2"/>
        <v>7-4-2000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t="s">
        <v>51</v>
      </c>
      <c r="I5" s="2" t="s">
        <v>59</v>
      </c>
      <c r="J5" t="str">
        <f t="shared" si="0"/>
        <v>1-5/2000</v>
      </c>
      <c r="K5" t="str">
        <f t="shared" si="1"/>
        <v>1/5-2000</v>
      </c>
      <c r="L5" t="str">
        <f t="shared" si="2"/>
        <v>1-5-2000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f t="shared" si="0"/>
        <v>5-6/2001</v>
      </c>
      <c r="K6" t="str">
        <f t="shared" si="1"/>
        <v>5/6-2001</v>
      </c>
      <c r="L6" t="str">
        <f t="shared" si="2"/>
        <v>5-6-2001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f t="shared" si="0"/>
        <v>5-6/2001</v>
      </c>
      <c r="K7" t="str">
        <f t="shared" si="1"/>
        <v>5/6-2001</v>
      </c>
      <c r="L7" t="str">
        <f t="shared" si="2"/>
        <v>5-6-2001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t="s">
        <v>53</v>
      </c>
      <c r="I8" s="2" t="s">
        <v>61</v>
      </c>
      <c r="J8" t="str">
        <f t="shared" si="0"/>
        <v>11-8/2003</v>
      </c>
      <c r="K8" t="str">
        <f t="shared" si="1"/>
        <v>11/8-2003</v>
      </c>
      <c r="L8" t="str">
        <f t="shared" si="2"/>
        <v>11-8-2003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f t="shared" si="0"/>
        <v>6-9/2002</v>
      </c>
      <c r="K9" t="str">
        <f t="shared" si="1"/>
        <v>6/9-2002</v>
      </c>
      <c r="L9" t="str">
        <f t="shared" si="2"/>
        <v>6-9-2002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f t="shared" si="0"/>
        <v>8-10/2003</v>
      </c>
      <c r="K10" t="str">
        <f t="shared" si="1"/>
        <v>8/10-2003</v>
      </c>
      <c r="L10" t="str">
        <f t="shared" si="2"/>
        <v>8-10-2003</v>
      </c>
    </row>
    <row r="12" spans="1:12" x14ac:dyDescent="0.35">
      <c r="H12" s="2"/>
      <c r="I12" s="2"/>
    </row>
    <row r="13" spans="1:12" x14ac:dyDescent="0.35">
      <c r="H13" s="2"/>
      <c r="I13" s="2"/>
    </row>
    <row r="14" spans="1:12" x14ac:dyDescent="0.35">
      <c r="H14" s="2"/>
      <c r="I14" s="2"/>
    </row>
    <row r="15" spans="1:12" x14ac:dyDescent="0.35">
      <c r="H15" s="2"/>
      <c r="I15" s="2"/>
    </row>
    <row r="16" spans="1:12" x14ac:dyDescent="0.35">
      <c r="H16" s="2"/>
      <c r="I16" s="2"/>
    </row>
    <row r="17" spans="8:9" x14ac:dyDescent="0.35">
      <c r="H17" s="2"/>
      <c r="I17" s="2"/>
    </row>
    <row r="18" spans="8:9" x14ac:dyDescent="0.35">
      <c r="H18" s="2"/>
      <c r="I18" s="2"/>
    </row>
    <row r="19" spans="8:9" x14ac:dyDescent="0.35">
      <c r="H19" s="2"/>
      <c r="I19" s="2"/>
    </row>
    <row r="20" spans="8:9" x14ac:dyDescent="0.35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11" sqref="L11"/>
    </sheetView>
  </sheetViews>
  <sheetFormatPr defaultColWidth="13" defaultRowHeight="14.5" x14ac:dyDescent="0.35"/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4" t="s">
        <v>71</v>
      </c>
      <c r="K1" s="4" t="s">
        <v>72</v>
      </c>
      <c r="L1" s="4" t="s">
        <v>73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SUMIFS(G2:G10,E2:E10,"Male",D2:D10,"&gt;30")</f>
        <v>205000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8" sqref="L8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4" t="s">
        <v>74</v>
      </c>
      <c r="K1" s="4" t="s">
        <v>75</v>
      </c>
      <c r="L1" s="4" t="s">
        <v>76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COUNT(A2:A10)</f>
        <v>9</v>
      </c>
      <c r="K2">
        <f>COUNTIF(G2:G10,"&gt;50000")</f>
        <v>2</v>
      </c>
      <c r="L2">
        <f>COUNTIFS(G2:G10,"&gt;45000",E2:E10,"Male")</f>
        <v>4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J1" sqref="J1"/>
    </sheetView>
  </sheetViews>
  <sheetFormatPr defaultRowHeight="14.5" x14ac:dyDescent="0.35"/>
  <cols>
    <col min="2" max="2" width="10.453125" customWidth="1"/>
    <col min="3" max="5" width="10.6328125" customWidth="1"/>
    <col min="6" max="6" width="16.54296875" customWidth="1"/>
    <col min="8" max="8" width="14.1796875" customWidth="1"/>
    <col min="9" max="9" width="14.81640625" customWidth="1"/>
    <col min="10" max="10" width="25.26953125" customWidth="1"/>
    <col min="11" max="11" width="26.26953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4" t="s">
        <v>18</v>
      </c>
      <c r="K1" s="5" t="s">
        <v>98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CONCATENATE(B2,".",C2,"@gmail.com")</f>
        <v>Jim.Halpert@gmail.com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  <c r="K3" t="str">
        <f t="shared" ref="K3:K10" si="1">CONCATENATE(B3,".",C3,"@gmail.com")</f>
        <v>Pam.Beasley@gmail.com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35">
      <c r="H11" t="str">
        <f t="shared" ref="H11:H12" si="2">CONCATENATE(B11," ",C11)</f>
        <v xml:space="preserve"> </v>
      </c>
    </row>
    <row r="12" spans="1:11" x14ac:dyDescent="0.35">
      <c r="H12" t="str">
        <f t="shared" si="2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workbookViewId="0">
      <selection activeCell="M20" sqref="M20"/>
    </sheetView>
  </sheetViews>
  <sheetFormatPr defaultRowHeight="14.5" x14ac:dyDescent="0.35"/>
  <cols>
    <col min="8" max="8" width="14.453125" customWidth="1"/>
    <col min="9" max="9" width="13.36328125" customWidth="1"/>
    <col min="10" max="10" width="11.453125" style="6" customWidth="1"/>
    <col min="11" max="11" width="13.90625" style="6" bestFit="1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5" t="s">
        <v>79</v>
      </c>
      <c r="K1" s="5" t="s">
        <v>80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6">
        <f>_xlfn.DAYS(I2,H2)</f>
        <v>5056</v>
      </c>
      <c r="K2" s="6">
        <f>NETWORKDAYS(H2,I2)</f>
        <v>3611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6">
        <f t="shared" ref="J3:J10" si="0">_xlfn.DAYS(I3,H3)</f>
        <v>5851</v>
      </c>
      <c r="K3" s="6">
        <f t="shared" ref="K3:K10" si="1">NETWORKDAYS(H3,I3)</f>
        <v>4180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6">
        <f t="shared" si="0"/>
        <v>6275</v>
      </c>
      <c r="K4" s="6">
        <f t="shared" si="1"/>
        <v>4484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6">
        <f t="shared" si="0"/>
        <v>5811</v>
      </c>
      <c r="K5" s="6">
        <f t="shared" si="1"/>
        <v>4152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6">
        <f t="shared" si="0"/>
        <v>5960</v>
      </c>
      <c r="K6" s="6">
        <f t="shared" si="1"/>
        <v>4258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6">
        <f t="shared" si="0"/>
        <v>4511</v>
      </c>
      <c r="K7" s="6">
        <f t="shared" si="1"/>
        <v>3223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6">
        <f t="shared" si="0"/>
        <v>3595</v>
      </c>
      <c r="K8" s="6">
        <f t="shared" si="1"/>
        <v>2568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6">
        <f t="shared" si="0"/>
        <v>4700</v>
      </c>
      <c r="K9" s="6">
        <f t="shared" si="1"/>
        <v>3358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6">
        <f t="shared" si="0"/>
        <v>4273</v>
      </c>
      <c r="K10" s="6">
        <f t="shared" si="1"/>
        <v>3053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Santanu Deb</cp:lastModifiedBy>
  <dcterms:created xsi:type="dcterms:W3CDTF">2021-12-16T14:18:34Z</dcterms:created>
  <dcterms:modified xsi:type="dcterms:W3CDTF">2026-04-18T11:29:08Z</dcterms:modified>
</cp:coreProperties>
</file>